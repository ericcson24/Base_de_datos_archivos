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NubeDistribuible_v2\Datos\eric\"/>
    </mc:Choice>
  </mc:AlternateContent>
  <xr:revisionPtr revIDLastSave="0" documentId="13_ncr:1_{92E526F4-7BC6-4C56-948E-8F4BCAE4BD1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lan Financie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D5" i="1"/>
  <c r="G11" i="1"/>
  <c r="G8" i="1"/>
  <c r="G7" i="1"/>
  <c r="G6" i="1"/>
  <c r="G5" i="1"/>
  <c r="I5" i="1"/>
  <c r="C11" i="1"/>
  <c r="C10" i="1"/>
  <c r="C9" i="1"/>
  <c r="C8" i="1"/>
  <c r="C7" i="1"/>
  <c r="C6" i="1"/>
  <c r="C5" i="1"/>
  <c r="E26" i="1"/>
  <c r="I11" i="1"/>
  <c r="I10" i="1"/>
  <c r="I9" i="1"/>
  <c r="I8" i="1"/>
  <c r="I7" i="1"/>
  <c r="I6" i="1"/>
  <c r="J62" i="1"/>
  <c r="D62" i="1"/>
  <c r="J44" i="1"/>
  <c r="D44" i="1"/>
  <c r="D11" i="1" s="1"/>
  <c r="J26" i="1"/>
  <c r="E10" i="1" s="1"/>
  <c r="E5" i="1" l="1"/>
  <c r="E6" i="1"/>
  <c r="E8" i="1"/>
  <c r="E11" i="1"/>
  <c r="J11" i="1"/>
  <c r="K11" i="1" s="1"/>
  <c r="E7" i="1"/>
  <c r="E9" i="1"/>
  <c r="D8" i="1"/>
  <c r="J8" i="1" s="1"/>
  <c r="K8" i="1" s="1"/>
  <c r="D9" i="1"/>
  <c r="J4" i="1"/>
  <c r="K4" i="1" s="1"/>
  <c r="L4" i="1" s="1"/>
  <c r="D6" i="1"/>
  <c r="J6" i="1" s="1"/>
  <c r="K6" i="1" s="1"/>
  <c r="D10" i="1"/>
  <c r="J10" i="1" s="1"/>
  <c r="K10" i="1" s="1"/>
  <c r="J5" i="1"/>
  <c r="K5" i="1" s="1"/>
  <c r="D7" i="1"/>
  <c r="J7" i="1" s="1"/>
  <c r="K7" i="1" s="1"/>
  <c r="J9" i="1" l="1"/>
  <c r="K9" i="1" s="1"/>
  <c r="L5" i="1"/>
  <c r="L6" i="1" s="1"/>
  <c r="L7" i="1" l="1"/>
  <c r="L8" i="1" s="1"/>
  <c r="L9" i="1" s="1"/>
  <c r="L10" i="1" s="1"/>
  <c r="L11" i="1" s="1"/>
  <c r="E24" i="1" a="1"/>
  <c r="E24" i="1" s="1"/>
  <c r="E16" i="1" a="1"/>
  <c r="E16" i="1" s="1"/>
  <c r="E25" i="1" a="1"/>
  <c r="E25" i="1" s="1"/>
  <c r="E17" i="1" a="1"/>
  <c r="E17" i="1" s="1"/>
  <c r="E21" i="1" a="1"/>
  <c r="E21" i="1" s="1"/>
  <c r="E23" i="1" l="1" a="1"/>
  <c r="E23" i="1" s="1"/>
  <c r="E22" i="1" a="1"/>
  <c r="E22" i="1" s="1"/>
  <c r="E20" i="1" a="1"/>
  <c r="E20" i="1" s="1"/>
  <c r="E19" i="1" a="1"/>
  <c r="E19" i="1" s="1"/>
  <c r="E18" i="1" a="1"/>
  <c r="E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<sst xmlns="http://schemas.openxmlformats.org/spreadsheetml/2006/main" count="100" uniqueCount="73">
  <si>
    <t>Resumen General</t>
  </si>
  <si>
    <t>Mes</t>
  </si>
  <si>
    <t>Ingreso (€)</t>
  </si>
  <si>
    <t>Suscripciones</t>
  </si>
  <si>
    <t>Comidas</t>
  </si>
  <si>
    <t>Caprichos</t>
  </si>
  <si>
    <t>Planes</t>
  </si>
  <si>
    <t>Regalos</t>
  </si>
  <si>
    <t>Otros</t>
  </si>
  <si>
    <t>Gasto Total (€)</t>
  </si>
  <si>
    <t>Ahorro (€)</t>
  </si>
  <si>
    <t>Colchón acumulado (€)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</si>
  <si>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</si>
  <si>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</si>
  <si>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</si>
  <si>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</si>
  <si>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</si>
  <si>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</si>
  <si>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</si>
  <si>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</si>
  <si>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Caprichos (Planificación Inteligente)</t>
  </si>
  <si>
    <t>Capricho</t>
  </si>
  <si>
    <t>Precio (€)</t>
  </si>
  <si>
    <t>Prioridad</t>
  </si>
  <si>
    <t>Alta</t>
  </si>
  <si>
    <t>Media</t>
  </si>
  <si>
    <t>Servicio</t>
  </si>
  <si>
    <t>Día de cobro</t>
  </si>
  <si>
    <t>Monto (€)</t>
  </si>
  <si>
    <t>Netflix</t>
  </si>
  <si>
    <t>Amazon Prime</t>
  </si>
  <si>
    <t>Fecha</t>
  </si>
  <si>
    <t>Concepto</t>
  </si>
  <si>
    <t>01/09/2025</t>
  </si>
  <si>
    <t>Ejemplo Otros</t>
  </si>
  <si>
    <t>Secret Lab Reposa pies</t>
  </si>
  <si>
    <t>Ipad</t>
  </si>
  <si>
    <t>Baja</t>
  </si>
  <si>
    <t>Iphone</t>
  </si>
  <si>
    <t>baja</t>
  </si>
  <si>
    <t>Airpods</t>
  </si>
  <si>
    <t>Total:</t>
  </si>
  <si>
    <t>Macbook Air</t>
  </si>
  <si>
    <t>HBO</t>
  </si>
  <si>
    <t>Dazn</t>
  </si>
  <si>
    <t>Ps plus</t>
  </si>
  <si>
    <t>Microsoft</t>
  </si>
  <si>
    <t>Icloud</t>
  </si>
  <si>
    <t>Apple tv</t>
  </si>
  <si>
    <t>Comidas empresa</t>
  </si>
  <si>
    <t>X</t>
  </si>
  <si>
    <t>Navidades</t>
  </si>
  <si>
    <t>Watch</t>
  </si>
  <si>
    <t>Funda silla Secret labs</t>
  </si>
  <si>
    <t>Cantidad de dinero inicial:</t>
  </si>
  <si>
    <t>Fecha Posible Para Comprar</t>
  </si>
  <si>
    <t>*ingreso aprox</t>
  </si>
  <si>
    <t>*solo cuenta gastos de la tabla, no extras</t>
  </si>
  <si>
    <t>*no se valoran inversiones</t>
  </si>
  <si>
    <t>Sueldo despues de impuestos:</t>
  </si>
  <si>
    <t>Videojuego</t>
  </si>
  <si>
    <t>media</t>
  </si>
  <si>
    <t>Gta 6</t>
  </si>
  <si>
    <t>alta</t>
  </si>
  <si>
    <t>*esto es despues de cobrar, octubre representa lo cobrado el 5 de noviembre</t>
  </si>
  <si>
    <t>*ajustar despues del primer cobro, no se tiene en cuenta luego cuanto te devuelven</t>
  </si>
  <si>
    <t>Fiestas</t>
  </si>
  <si>
    <t>x</t>
  </si>
  <si>
    <t>Github Copilot</t>
  </si>
  <si>
    <t>Gasto aceptable</t>
  </si>
  <si>
    <t>Gasto medio</t>
  </si>
  <si>
    <t>Gasto alto</t>
  </si>
  <si>
    <t>Comidas laura/gente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</si>
</sst>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0" fillId="0" borderId="0" xfId="0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3" fillId="0" borderId="5" xfId="0" applyFont="1" applyBorder="1" applyAlignment="1">
      <alignment horizontal="center" wrapText="1"/>
    </xf>
    <xf numFmtId="0" fontId="0" fillId="0" borderId="0" xfId="0" applyAlignment="1"/>
    <xf numFmtId="0" fontId="5" fillId="0" borderId="5" xfId="0" applyFont="1" applyBorder="1" applyAlignment="1">
      <alignment wrapText="1"/>
    </xf>
    <xf numFmtId="0" fontId="6" fillId="4" borderId="11" xfId="0" applyFont="1" applyFill="1" applyBorder="1" applyAlignment="1">
      <alignment wrapText="1"/>
    </xf>
    <xf numFmtId="0" fontId="6" fillId="4" borderId="12" xfId="0" applyFont="1" applyFill="1" applyBorder="1" applyAlignment="1">
      <alignment wrapText="1"/>
    </xf>
    <xf numFmtId="0" fontId="0" fillId="5" borderId="11" xfId="0" applyFill="1" applyBorder="1" applyAlignment="1">
      <alignment wrapText="1"/>
    </xf>
    <xf numFmtId="0" fontId="0" fillId="5" borderId="12" xfId="0" applyFill="1" applyBorder="1" applyAlignment="1">
      <alignment wrapText="1"/>
    </xf>
    <xf numFmtId="0" fontId="0" fillId="6" borderId="11" xfId="0" applyFill="1" applyBorder="1" applyAlignment="1">
      <alignment wrapText="1"/>
    </xf>
    <xf numFmtId="0" fontId="0" fillId="6" borderId="12" xfId="0" applyFill="1" applyBorder="1" applyAlignment="1">
      <alignment wrapText="1"/>
    </xf>
    <xf numFmtId="0" fontId="0" fillId="6" borderId="10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7" borderId="5" xfId="0" applyFill="1" applyBorder="1" applyAlignment="1">
      <alignment wrapText="1"/>
    </xf>
    <xf numFmtId="0" fontId="0" fillId="7" borderId="0" xfId="0" applyFill="1" applyBorder="1" applyAlignment="1">
      <alignment wrapText="1"/>
    </xf>
    <xf numFmtId="0" fontId="0" fillId="7" borderId="6" xfId="0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Evolución del Colchón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'Plan Financiero'!$L$3</c:f>
              <c:strCache>
                <c:ptCount val="1"/>
                <c:pt idx="0">
                  <c:v>Colchón acumulado (€)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9044222222222221E-2"/>
                  <c:y val="-5.2916666666666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05-4291-AE55-D7A502B93912}"/>
                </c:ext>
              </c:extLst>
            </c:dLbl>
            <c:dLbl>
              <c:idx val="1"/>
              <c:layout>
                <c:manualLayout>
                  <c:x val="-3.6223222222222219E-2"/>
                  <c:y val="-5.644444444444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05-4291-AE55-D7A502B93912}"/>
                </c:ext>
              </c:extLst>
            </c:dLbl>
            <c:dLbl>
              <c:idx val="2"/>
              <c:layout>
                <c:manualLayout>
                  <c:x val="-3.9084222222222222E-2"/>
                  <c:y val="-7.05555555555556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05-4291-AE55-D7A502B93912}"/>
                </c:ext>
              </c:extLst>
            </c:dLbl>
            <c:dLbl>
              <c:idx val="3"/>
              <c:layout>
                <c:manualLayout>
                  <c:x val="-3.9084222222222222E-2"/>
                  <c:y val="-7.05555555555556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05-4291-AE55-D7A502B93912}"/>
                </c:ext>
              </c:extLst>
            </c:dLbl>
            <c:dLbl>
              <c:idx val="4"/>
              <c:layout>
                <c:manualLayout>
                  <c:x val="-3.9084222222222326E-2"/>
                  <c:y val="-6.35000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05-4291-AE55-D7A502B93912}"/>
                </c:ext>
              </c:extLst>
            </c:dLbl>
            <c:dLbl>
              <c:idx val="5"/>
              <c:layout>
                <c:manualLayout>
                  <c:x val="-3.7634333333333332E-2"/>
                  <c:y val="-6.35000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05-4291-AE55-D7A502B93912}"/>
                </c:ext>
              </c:extLst>
            </c:dLbl>
            <c:dLbl>
              <c:idx val="6"/>
              <c:layout>
                <c:manualLayout>
                  <c:x val="-3.9084222222222222E-2"/>
                  <c:y val="-7.05555555555555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05-4291-AE55-D7A502B93912}"/>
                </c:ext>
              </c:extLst>
            </c:dLbl>
            <c:dLbl>
              <c:idx val="7"/>
              <c:layout>
                <c:manualLayout>
                  <c:x val="-3.9084222222222326E-2"/>
                  <c:y val="-6.7027777777777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05-4291-AE55-D7A502B939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'Plan Financiero'!$B$4:$B$11</c:f>
              <c:strCache>
                <c:ptCount val="8"/>
                <c:pt idx="0">
                  <c:v>September 2025</c:v>
                </c:pt>
                <c:pt idx="1">
                  <c:v>October 2025</c:v>
                </c:pt>
                <c:pt idx="2">
                  <c:v>November 2025</c:v>
                </c:pt>
                <c:pt idx="3">
                  <c:v>December 2025</c:v>
                </c:pt>
                <c:pt idx="4">
                  <c:v>January 2026</c:v>
                </c:pt>
                <c:pt idx="5">
                  <c:v>February 2026</c:v>
                </c:pt>
                <c:pt idx="6">
                  <c:v>March 2026</c:v>
                </c:pt>
                <c:pt idx="7">
                  <c:v>April 2026</c:v>
                </c:pt>
              </c:strCache>
            </c:strRef>
          </c:cat>
          <c:val>
            <c:numRef>
              <c:f>'Plan Financiero'!$L$4:$L$11</c:f>
              <c:numCache>
                <c:formatCode>General</c:formatCode>
                <c:ptCount val="8"/>
                <c:pt idx="0">
                  <c:v>160</c:v>
                </c:pt>
                <c:pt idx="1">
                  <c:v>613.02</c:v>
                </c:pt>
                <c:pt idx="2">
                  <c:v>983.04</c:v>
                </c:pt>
                <c:pt idx="3">
                  <c:v>1193.06</c:v>
                </c:pt>
                <c:pt idx="4">
                  <c:v>1763.08</c:v>
                </c:pt>
                <c:pt idx="5">
                  <c:v>2133.1</c:v>
                </c:pt>
                <c:pt idx="6">
                  <c:v>2643.12</c:v>
                </c:pt>
                <c:pt idx="7">
                  <c:v>3213.14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7-4BFD-82E8-C4A7822022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(Octubre 2025)</a:t>
            </a:r>
          </a:p>
        </c:rich>
      </c:tx>
      <c:layout>
        <c:manualLayout>
          <c:xMode val="edge"/>
          <c:yMode val="edge"/>
          <c:x val="9.0777777777777777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6"/>
          <c:order val="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Financiero'!$D$5:$I$5</c:f>
              <c:numCache>
                <c:formatCode>General</c:formatCode>
                <c:ptCount val="6"/>
                <c:pt idx="0">
                  <c:v>116.98</c:v>
                </c:pt>
                <c:pt idx="1">
                  <c:v>210</c:v>
                </c:pt>
                <c:pt idx="2">
                  <c:v>70</c:v>
                </c:pt>
                <c:pt idx="3">
                  <c:v>40</c:v>
                </c:pt>
                <c:pt idx="4">
                  <c:v>20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1-444F-8A25-F3B925F8DB9F}"/>
            </c:ext>
          </c:extLst>
        </c:ser>
        <c:ser>
          <c:idx val="7"/>
          <c:order val="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21-444F-8A25-F3B925F8DB9F}"/>
            </c:ext>
          </c:extLst>
        </c:ser>
        <c:ser>
          <c:idx val="8"/>
          <c:order val="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21-444F-8A25-F3B925F8DB9F}"/>
            </c:ext>
          </c:extLst>
        </c:ser>
        <c:ser>
          <c:idx val="9"/>
          <c:order val="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21-444F-8A25-F3B925F8DB9F}"/>
            </c:ext>
          </c:extLst>
        </c:ser>
        <c:ser>
          <c:idx val="10"/>
          <c:order val="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21-444F-8A25-F3B925F8DB9F}"/>
            </c:ext>
          </c:extLst>
        </c:ser>
        <c:ser>
          <c:idx val="11"/>
          <c:order val="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21-444F-8A25-F3B925F8DB9F}"/>
            </c:ext>
          </c:extLst>
        </c:ser>
        <c:ser>
          <c:idx val="0"/>
          <c:order val="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21-444F-8A25-F3B925F8DB9F}"/>
            </c:ext>
          </c:extLst>
        </c:ser>
        <c:ser>
          <c:idx val="1"/>
          <c:order val="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F21-444F-8A25-F3B925F8DB9F}"/>
            </c:ext>
          </c:extLst>
        </c:ser>
        <c:ser>
          <c:idx val="2"/>
          <c:order val="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21-444F-8A25-F3B925F8DB9F}"/>
            </c:ext>
          </c:extLst>
        </c:ser>
        <c:ser>
          <c:idx val="3"/>
          <c:order val="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F21-444F-8A25-F3B925F8DB9F}"/>
            </c:ext>
          </c:extLst>
        </c:ser>
        <c:ser>
          <c:idx val="4"/>
          <c:order val="1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F21-444F-8A25-F3B925F8DB9F}"/>
            </c:ext>
          </c:extLst>
        </c:ser>
        <c:ser>
          <c:idx val="5"/>
          <c:order val="1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F21-444F-8A25-F3B925F8D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(Noviembre 2025)</a:t>
            </a:r>
          </a:p>
        </c:rich>
      </c:tx>
      <c:layout>
        <c:manualLayout>
          <c:xMode val="edge"/>
          <c:yMode val="edge"/>
          <c:x val="9.0777777777777777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6"/>
          <c:order val="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Financiero'!$D$6:$I$6</c:f>
              <c:numCache>
                <c:formatCode>General</c:formatCode>
                <c:ptCount val="6"/>
                <c:pt idx="0">
                  <c:v>89.98</c:v>
                </c:pt>
                <c:pt idx="1">
                  <c:v>210</c:v>
                </c:pt>
                <c:pt idx="2">
                  <c:v>200</c:v>
                </c:pt>
                <c:pt idx="3">
                  <c:v>40</c:v>
                </c:pt>
                <c:pt idx="4">
                  <c:v>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2-4547-8C21-6E7769DA1FD6}"/>
            </c:ext>
          </c:extLst>
        </c:ser>
        <c:ser>
          <c:idx val="7"/>
          <c:order val="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2-4547-8C21-6E7769DA1FD6}"/>
            </c:ext>
          </c:extLst>
        </c:ser>
        <c:ser>
          <c:idx val="8"/>
          <c:order val="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32-4547-8C21-6E7769DA1FD6}"/>
            </c:ext>
          </c:extLst>
        </c:ser>
        <c:ser>
          <c:idx val="9"/>
          <c:order val="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32-4547-8C21-6E7769DA1FD6}"/>
            </c:ext>
          </c:extLst>
        </c:ser>
        <c:ser>
          <c:idx val="10"/>
          <c:order val="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32-4547-8C21-6E7769DA1FD6}"/>
            </c:ext>
          </c:extLst>
        </c:ser>
        <c:ser>
          <c:idx val="11"/>
          <c:order val="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32-4547-8C21-6E7769DA1FD6}"/>
            </c:ext>
          </c:extLst>
        </c:ser>
        <c:ser>
          <c:idx val="0"/>
          <c:order val="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32-4547-8C21-6E7769DA1FD6}"/>
            </c:ext>
          </c:extLst>
        </c:ser>
        <c:ser>
          <c:idx val="1"/>
          <c:order val="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32-4547-8C21-6E7769DA1FD6}"/>
            </c:ext>
          </c:extLst>
        </c:ser>
        <c:ser>
          <c:idx val="2"/>
          <c:order val="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32-4547-8C21-6E7769DA1FD6}"/>
            </c:ext>
          </c:extLst>
        </c:ser>
        <c:ser>
          <c:idx val="3"/>
          <c:order val="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732-4547-8C21-6E7769DA1FD6}"/>
            </c:ext>
          </c:extLst>
        </c:ser>
        <c:ser>
          <c:idx val="4"/>
          <c:order val="1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732-4547-8C21-6E7769DA1FD6}"/>
            </c:ext>
          </c:extLst>
        </c:ser>
        <c:ser>
          <c:idx val="5"/>
          <c:order val="1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732-4547-8C21-6E7769DA1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(Diciembre 2025)</a:t>
            </a:r>
          </a:p>
        </c:rich>
      </c:tx>
      <c:layout>
        <c:manualLayout>
          <c:xMode val="edge"/>
          <c:yMode val="edge"/>
          <c:x val="9.0777777777777777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6"/>
          <c:order val="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Financiero'!$D$7:$I$7</c:f>
              <c:numCache>
                <c:formatCode>General</c:formatCode>
                <c:ptCount val="6"/>
                <c:pt idx="0">
                  <c:v>89.98</c:v>
                </c:pt>
                <c:pt idx="1">
                  <c:v>210</c:v>
                </c:pt>
                <c:pt idx="3">
                  <c:v>100</c:v>
                </c:pt>
                <c:pt idx="4">
                  <c:v>300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4-43E0-9E60-0DEB003CE95D}"/>
            </c:ext>
          </c:extLst>
        </c:ser>
        <c:ser>
          <c:idx val="7"/>
          <c:order val="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04-43E0-9E60-0DEB003CE95D}"/>
            </c:ext>
          </c:extLst>
        </c:ser>
        <c:ser>
          <c:idx val="8"/>
          <c:order val="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04-43E0-9E60-0DEB003CE95D}"/>
            </c:ext>
          </c:extLst>
        </c:ser>
        <c:ser>
          <c:idx val="9"/>
          <c:order val="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04-43E0-9E60-0DEB003CE95D}"/>
            </c:ext>
          </c:extLst>
        </c:ser>
        <c:ser>
          <c:idx val="10"/>
          <c:order val="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04-43E0-9E60-0DEB003CE95D}"/>
            </c:ext>
          </c:extLst>
        </c:ser>
        <c:ser>
          <c:idx val="11"/>
          <c:order val="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04-43E0-9E60-0DEB003CE95D}"/>
            </c:ext>
          </c:extLst>
        </c:ser>
        <c:ser>
          <c:idx val="0"/>
          <c:order val="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04-43E0-9E60-0DEB003CE95D}"/>
            </c:ext>
          </c:extLst>
        </c:ser>
        <c:ser>
          <c:idx val="1"/>
          <c:order val="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04-43E0-9E60-0DEB003CE95D}"/>
            </c:ext>
          </c:extLst>
        </c:ser>
        <c:ser>
          <c:idx val="2"/>
          <c:order val="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04-43E0-9E60-0DEB003CE95D}"/>
            </c:ext>
          </c:extLst>
        </c:ser>
        <c:ser>
          <c:idx val="3"/>
          <c:order val="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404-43E0-9E60-0DEB003CE95D}"/>
            </c:ext>
          </c:extLst>
        </c:ser>
        <c:ser>
          <c:idx val="4"/>
          <c:order val="1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04-43E0-9E60-0DEB003CE95D}"/>
            </c:ext>
          </c:extLst>
        </c:ser>
        <c:ser>
          <c:idx val="5"/>
          <c:order val="1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404-43E0-9E60-0DEB003CE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(Enero 2025)</a:t>
            </a:r>
          </a:p>
        </c:rich>
      </c:tx>
      <c:layout>
        <c:manualLayout>
          <c:xMode val="edge"/>
          <c:yMode val="edge"/>
          <c:x val="9.0777777777777777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6"/>
          <c:order val="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Financiero'!$D$8:$I$8</c:f>
              <c:numCache>
                <c:formatCode>General</c:formatCode>
                <c:ptCount val="6"/>
                <c:pt idx="0">
                  <c:v>89.98</c:v>
                </c:pt>
                <c:pt idx="1">
                  <c:v>210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D-45B8-8C6F-C7548D67135E}"/>
            </c:ext>
          </c:extLst>
        </c:ser>
        <c:ser>
          <c:idx val="7"/>
          <c:order val="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D-45B8-8C6F-C7548D67135E}"/>
            </c:ext>
          </c:extLst>
        </c:ser>
        <c:ser>
          <c:idx val="8"/>
          <c:order val="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4D-45B8-8C6F-C7548D67135E}"/>
            </c:ext>
          </c:extLst>
        </c:ser>
        <c:ser>
          <c:idx val="9"/>
          <c:order val="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4D-45B8-8C6F-C7548D67135E}"/>
            </c:ext>
          </c:extLst>
        </c:ser>
        <c:ser>
          <c:idx val="10"/>
          <c:order val="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4D-45B8-8C6F-C7548D67135E}"/>
            </c:ext>
          </c:extLst>
        </c:ser>
        <c:ser>
          <c:idx val="11"/>
          <c:order val="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4D-45B8-8C6F-C7548D67135E}"/>
            </c:ext>
          </c:extLst>
        </c:ser>
        <c:ser>
          <c:idx val="0"/>
          <c:order val="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4D-45B8-8C6F-C7548D67135E}"/>
            </c:ext>
          </c:extLst>
        </c:ser>
        <c:ser>
          <c:idx val="1"/>
          <c:order val="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4D-45B8-8C6F-C7548D67135E}"/>
            </c:ext>
          </c:extLst>
        </c:ser>
        <c:ser>
          <c:idx val="2"/>
          <c:order val="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4D-45B8-8C6F-C7548D67135E}"/>
            </c:ext>
          </c:extLst>
        </c:ser>
        <c:ser>
          <c:idx val="3"/>
          <c:order val="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4D-45B8-8C6F-C7548D67135E}"/>
            </c:ext>
          </c:extLst>
        </c:ser>
        <c:ser>
          <c:idx val="4"/>
          <c:order val="1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4D-45B8-8C6F-C7548D67135E}"/>
            </c:ext>
          </c:extLst>
        </c:ser>
        <c:ser>
          <c:idx val="5"/>
          <c:order val="1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74D-45B8-8C6F-C7548D671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(Febrero 2025)</a:t>
            </a:r>
          </a:p>
        </c:rich>
      </c:tx>
      <c:layout>
        <c:manualLayout>
          <c:xMode val="edge"/>
          <c:yMode val="edge"/>
          <c:x val="9.0777777777777777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6"/>
          <c:order val="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Financiero'!$D$9:$I$9</c:f>
              <c:numCache>
                <c:formatCode>General</c:formatCode>
                <c:ptCount val="6"/>
                <c:pt idx="0">
                  <c:v>89.98</c:v>
                </c:pt>
                <c:pt idx="1">
                  <c:v>210</c:v>
                </c:pt>
                <c:pt idx="2">
                  <c:v>120</c:v>
                </c:pt>
                <c:pt idx="3">
                  <c:v>120</c:v>
                </c:pt>
                <c:pt idx="4">
                  <c:v>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C-4A0C-848F-FD24DDB11C61}"/>
            </c:ext>
          </c:extLst>
        </c:ser>
        <c:ser>
          <c:idx val="7"/>
          <c:order val="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C-4A0C-848F-FD24DDB11C61}"/>
            </c:ext>
          </c:extLst>
        </c:ser>
        <c:ser>
          <c:idx val="8"/>
          <c:order val="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AC-4A0C-848F-FD24DDB11C61}"/>
            </c:ext>
          </c:extLst>
        </c:ser>
        <c:ser>
          <c:idx val="9"/>
          <c:order val="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AC-4A0C-848F-FD24DDB11C61}"/>
            </c:ext>
          </c:extLst>
        </c:ser>
        <c:ser>
          <c:idx val="10"/>
          <c:order val="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AC-4A0C-848F-FD24DDB11C61}"/>
            </c:ext>
          </c:extLst>
        </c:ser>
        <c:ser>
          <c:idx val="11"/>
          <c:order val="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AC-4A0C-848F-FD24DDB11C61}"/>
            </c:ext>
          </c:extLst>
        </c:ser>
        <c:ser>
          <c:idx val="0"/>
          <c:order val="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AC-4A0C-848F-FD24DDB11C61}"/>
            </c:ext>
          </c:extLst>
        </c:ser>
        <c:ser>
          <c:idx val="1"/>
          <c:order val="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AC-4A0C-848F-FD24DDB11C61}"/>
            </c:ext>
          </c:extLst>
        </c:ser>
        <c:ser>
          <c:idx val="2"/>
          <c:order val="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AC-4A0C-848F-FD24DDB11C61}"/>
            </c:ext>
          </c:extLst>
        </c:ser>
        <c:ser>
          <c:idx val="3"/>
          <c:order val="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2AC-4A0C-848F-FD24DDB11C61}"/>
            </c:ext>
          </c:extLst>
        </c:ser>
        <c:ser>
          <c:idx val="4"/>
          <c:order val="1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AC-4A0C-848F-FD24DDB11C61}"/>
            </c:ext>
          </c:extLst>
        </c:ser>
        <c:ser>
          <c:idx val="5"/>
          <c:order val="1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2AC-4A0C-848F-FD24DDB11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(Marzo 2025)</a:t>
            </a:r>
          </a:p>
        </c:rich>
      </c:tx>
      <c:layout>
        <c:manualLayout>
          <c:xMode val="edge"/>
          <c:yMode val="edge"/>
          <c:x val="9.0777777777777777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12"/>
          <c:order val="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Financiero'!$D$10:$I$10</c:f>
              <c:numCache>
                <c:formatCode>General</c:formatCode>
                <c:ptCount val="6"/>
                <c:pt idx="0">
                  <c:v>89.98</c:v>
                </c:pt>
                <c:pt idx="1">
                  <c:v>210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766-43D6-91BF-BE208583E00D}"/>
            </c:ext>
          </c:extLst>
        </c:ser>
        <c:ser>
          <c:idx val="13"/>
          <c:order val="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766-43D6-91BF-BE208583E00D}"/>
            </c:ext>
          </c:extLst>
        </c:ser>
        <c:ser>
          <c:idx val="14"/>
          <c:order val="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766-43D6-91BF-BE208583E00D}"/>
            </c:ext>
          </c:extLst>
        </c:ser>
        <c:ser>
          <c:idx val="15"/>
          <c:order val="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766-43D6-91BF-BE208583E00D}"/>
            </c:ext>
          </c:extLst>
        </c:ser>
        <c:ser>
          <c:idx val="16"/>
          <c:order val="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766-43D6-91BF-BE208583E00D}"/>
            </c:ext>
          </c:extLst>
        </c:ser>
        <c:ser>
          <c:idx val="17"/>
          <c:order val="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2766-43D6-91BF-BE208583E00D}"/>
            </c:ext>
          </c:extLst>
        </c:ser>
        <c:ser>
          <c:idx val="18"/>
          <c:order val="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2766-43D6-91BF-BE208583E00D}"/>
            </c:ext>
          </c:extLst>
        </c:ser>
        <c:ser>
          <c:idx val="19"/>
          <c:order val="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2766-43D6-91BF-BE208583E00D}"/>
            </c:ext>
          </c:extLst>
        </c:ser>
        <c:ser>
          <c:idx val="20"/>
          <c:order val="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766-43D6-91BF-BE208583E00D}"/>
            </c:ext>
          </c:extLst>
        </c:ser>
        <c:ser>
          <c:idx val="21"/>
          <c:order val="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766-43D6-91BF-BE208583E00D}"/>
            </c:ext>
          </c:extLst>
        </c:ser>
        <c:ser>
          <c:idx val="22"/>
          <c:order val="1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2766-43D6-91BF-BE208583E00D}"/>
            </c:ext>
          </c:extLst>
        </c:ser>
        <c:ser>
          <c:idx val="23"/>
          <c:order val="1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2766-43D6-91BF-BE208583E00D}"/>
            </c:ext>
          </c:extLst>
        </c:ser>
        <c:ser>
          <c:idx val="6"/>
          <c:order val="1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766-43D6-91BF-BE208583E00D}"/>
            </c:ext>
          </c:extLst>
        </c:ser>
        <c:ser>
          <c:idx val="7"/>
          <c:order val="1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766-43D6-91BF-BE208583E00D}"/>
            </c:ext>
          </c:extLst>
        </c:ser>
        <c:ser>
          <c:idx val="8"/>
          <c:order val="1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766-43D6-91BF-BE208583E00D}"/>
            </c:ext>
          </c:extLst>
        </c:ser>
        <c:ser>
          <c:idx val="9"/>
          <c:order val="1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766-43D6-91BF-BE208583E00D}"/>
            </c:ext>
          </c:extLst>
        </c:ser>
        <c:ser>
          <c:idx val="10"/>
          <c:order val="1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766-43D6-91BF-BE208583E00D}"/>
            </c:ext>
          </c:extLst>
        </c:ser>
        <c:ser>
          <c:idx val="11"/>
          <c:order val="1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766-43D6-91BF-BE208583E00D}"/>
            </c:ext>
          </c:extLst>
        </c:ser>
        <c:ser>
          <c:idx val="0"/>
          <c:order val="1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766-43D6-91BF-BE208583E00D}"/>
            </c:ext>
          </c:extLst>
        </c:ser>
        <c:ser>
          <c:idx val="1"/>
          <c:order val="1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766-43D6-91BF-BE208583E00D}"/>
            </c:ext>
          </c:extLst>
        </c:ser>
        <c:ser>
          <c:idx val="2"/>
          <c:order val="2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766-43D6-91BF-BE208583E00D}"/>
            </c:ext>
          </c:extLst>
        </c:ser>
        <c:ser>
          <c:idx val="3"/>
          <c:order val="2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766-43D6-91BF-BE208583E00D}"/>
            </c:ext>
          </c:extLst>
        </c:ser>
        <c:ser>
          <c:idx val="4"/>
          <c:order val="2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766-43D6-91BF-BE208583E00D}"/>
            </c:ext>
          </c:extLst>
        </c:ser>
        <c:ser>
          <c:idx val="5"/>
          <c:order val="2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766-43D6-91BF-BE208583E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(Abril 2025)</a:t>
            </a:r>
          </a:p>
        </c:rich>
      </c:tx>
      <c:layout>
        <c:manualLayout>
          <c:xMode val="edge"/>
          <c:yMode val="edge"/>
          <c:x val="9.0777777777777777E-2"/>
          <c:y val="2.8222222222222221E-2"/>
        </c:manualLayout>
      </c:layout>
      <c:overlay val="0"/>
    </c:title>
    <c:autoTitleDeleted val="0"/>
    <c:plotArea>
      <c:layout/>
      <c:pieChart>
        <c:varyColors val="1"/>
        <c:ser>
          <c:idx val="6"/>
          <c:order val="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Financiero'!$D$11:$I$11</c:f>
              <c:numCache>
                <c:formatCode>General</c:formatCode>
                <c:ptCount val="6"/>
                <c:pt idx="0">
                  <c:v>89.98</c:v>
                </c:pt>
                <c:pt idx="1">
                  <c:v>210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A-4B05-90B0-0F2D0CBF87DE}"/>
            </c:ext>
          </c:extLst>
        </c:ser>
        <c:ser>
          <c:idx val="7"/>
          <c:order val="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A-4B05-90B0-0F2D0CBF87DE}"/>
            </c:ext>
          </c:extLst>
        </c:ser>
        <c:ser>
          <c:idx val="8"/>
          <c:order val="2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AA-4B05-90B0-0F2D0CBF87DE}"/>
            </c:ext>
          </c:extLst>
        </c:ser>
        <c:ser>
          <c:idx val="9"/>
          <c:order val="3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AA-4B05-90B0-0F2D0CBF87DE}"/>
            </c:ext>
          </c:extLst>
        </c:ser>
        <c:ser>
          <c:idx val="10"/>
          <c:order val="4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AA-4B05-90B0-0F2D0CBF87DE}"/>
            </c:ext>
          </c:extLst>
        </c:ser>
        <c:ser>
          <c:idx val="11"/>
          <c:order val="5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AA-4B05-90B0-0F2D0CBF87DE}"/>
            </c:ext>
          </c:extLst>
        </c:ser>
        <c:ser>
          <c:idx val="0"/>
          <c:order val="6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Financiero'!$D$4:$I$4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AA-4B05-90B0-0F2D0CBF87DE}"/>
            </c:ext>
          </c:extLst>
        </c:ser>
        <c:ser>
          <c:idx val="1"/>
          <c:order val="7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AA-4B05-90B0-0F2D0CBF87DE}"/>
            </c:ext>
          </c:extLst>
        </c:ser>
        <c:ser>
          <c:idx val="2"/>
          <c:order val="8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AA-4B05-90B0-0F2D0CBF87DE}"/>
            </c:ext>
          </c:extLst>
        </c:ser>
        <c:ser>
          <c:idx val="3"/>
          <c:order val="9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AA-4B05-90B0-0F2D0CBF87DE}"/>
            </c:ext>
          </c:extLst>
        </c:ser>
        <c:ser>
          <c:idx val="4"/>
          <c:order val="10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Financiero'!$H$4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AA-4B05-90B0-0F2D0CBF87DE}"/>
            </c:ext>
          </c:extLst>
        </c:ser>
        <c:ser>
          <c:idx val="5"/>
          <c:order val="11"/>
          <c:spPr>
            <a:ln>
              <a:prstDash val="solid"/>
            </a:ln>
          </c:spPr>
          <c:cat>
            <c:strRef>
              <c:f>'Plan Financiero'!$D$3:$I$3</c:f>
              <c:strCache>
                <c:ptCount val="6"/>
                <c:pt idx="0">
                  <c:v>Suscripciones</c:v>
                </c:pt>
                <c:pt idx="1">
                  <c:v>Comidas</c:v>
                </c:pt>
                <c:pt idx="2">
                  <c:v>Caprichos</c:v>
                </c:pt>
                <c:pt idx="3">
                  <c:v>Planes</c:v>
                </c:pt>
                <c:pt idx="4">
                  <c:v>Regalos</c:v>
                </c:pt>
                <c:pt idx="5">
                  <c:v>Otros</c:v>
                </c:pt>
              </c:strCache>
            </c:strRef>
          </c:cat>
          <c:val>
            <c:numRef>
              <c:f>'Plan Financiero'!$I$4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6AA-4B05-90B0-0F2D0CBF8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Gasto/Ahorro/Colchon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1.4699125112702938E-2"/>
          <c:y val="0.15509189137569757"/>
          <c:w val="0.97305160396004464"/>
          <c:h val="0.79186871497666222"/>
        </c:manualLayout>
      </c:layout>
      <c:barChart>
        <c:barDir val="col"/>
        <c:grouping val="clustered"/>
        <c:varyColors val="0"/>
        <c:ser>
          <c:idx val="0"/>
          <c:order val="0"/>
          <c:tx>
            <c:v>Gasto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'Plan Financiero'!$B$4:$B$11</c:f>
              <c:strCache>
                <c:ptCount val="8"/>
                <c:pt idx="0">
                  <c:v>September 2025</c:v>
                </c:pt>
                <c:pt idx="1">
                  <c:v>October 2025</c:v>
                </c:pt>
                <c:pt idx="2">
                  <c:v>November 2025</c:v>
                </c:pt>
                <c:pt idx="3">
                  <c:v>December 2025</c:v>
                </c:pt>
                <c:pt idx="4">
                  <c:v>January 2026</c:v>
                </c:pt>
                <c:pt idx="5">
                  <c:v>February 2026</c:v>
                </c:pt>
                <c:pt idx="6">
                  <c:v>March 2026</c:v>
                </c:pt>
                <c:pt idx="7">
                  <c:v>April 2026</c:v>
                </c:pt>
              </c:strCache>
            </c:strRef>
          </c:cat>
          <c:val>
            <c:numRef>
              <c:f>'Plan Financiero'!$J$4:$J$11</c:f>
              <c:numCache>
                <c:formatCode>General</c:formatCode>
                <c:ptCount val="8"/>
                <c:pt idx="0">
                  <c:v>0</c:v>
                </c:pt>
                <c:pt idx="1">
                  <c:v>496.98</c:v>
                </c:pt>
                <c:pt idx="2">
                  <c:v>579.98</c:v>
                </c:pt>
                <c:pt idx="3">
                  <c:v>739.98</c:v>
                </c:pt>
                <c:pt idx="4">
                  <c:v>379.98</c:v>
                </c:pt>
                <c:pt idx="5">
                  <c:v>579.98</c:v>
                </c:pt>
                <c:pt idx="6">
                  <c:v>439.98</c:v>
                </c:pt>
                <c:pt idx="7">
                  <c:v>379.98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A-42F3-9AC4-35233672D0A1}"/>
            </c:ext>
          </c:extLst>
        </c:ser>
        <c:ser>
          <c:idx val="1"/>
          <c:order val="1"/>
          <c:tx>
            <c:v>Ahorro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'Plan Financiero'!$B$4:$B$11</c:f>
              <c:strCache>
                <c:ptCount val="8"/>
                <c:pt idx="0">
                  <c:v>September 2025</c:v>
                </c:pt>
                <c:pt idx="1">
                  <c:v>October 2025</c:v>
                </c:pt>
                <c:pt idx="2">
                  <c:v>November 2025</c:v>
                </c:pt>
                <c:pt idx="3">
                  <c:v>December 2025</c:v>
                </c:pt>
                <c:pt idx="4">
                  <c:v>January 2026</c:v>
                </c:pt>
                <c:pt idx="5">
                  <c:v>February 2026</c:v>
                </c:pt>
                <c:pt idx="6">
                  <c:v>March 2026</c:v>
                </c:pt>
                <c:pt idx="7">
                  <c:v>April 2026</c:v>
                </c:pt>
              </c:strCache>
            </c:strRef>
          </c:cat>
          <c:val>
            <c:numRef>
              <c:f>'Plan Financiero'!$K$4:$K$11</c:f>
              <c:numCache>
                <c:formatCode>General</c:formatCode>
                <c:ptCount val="8"/>
                <c:pt idx="0">
                  <c:v>160</c:v>
                </c:pt>
                <c:pt idx="1">
                  <c:v>453.02</c:v>
                </c:pt>
                <c:pt idx="2">
                  <c:v>370.02</c:v>
                </c:pt>
                <c:pt idx="3">
                  <c:v>210.01999999999998</c:v>
                </c:pt>
                <c:pt idx="4">
                  <c:v>570.02</c:v>
                </c:pt>
                <c:pt idx="5">
                  <c:v>370.02</c:v>
                </c:pt>
                <c:pt idx="6">
                  <c:v>510.02</c:v>
                </c:pt>
                <c:pt idx="7">
                  <c:v>570.02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A-42F3-9AC4-35233672D0A1}"/>
            </c:ext>
          </c:extLst>
        </c:ser>
        <c:ser>
          <c:idx val="2"/>
          <c:order val="2"/>
          <c:tx>
            <c:v>Colchon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'Plan Financiero'!$B$4:$B$11</c:f>
              <c:strCache>
                <c:ptCount val="8"/>
                <c:pt idx="0">
                  <c:v>September 2025</c:v>
                </c:pt>
                <c:pt idx="1">
                  <c:v>October 2025</c:v>
                </c:pt>
                <c:pt idx="2">
                  <c:v>November 2025</c:v>
                </c:pt>
                <c:pt idx="3">
                  <c:v>December 2025</c:v>
                </c:pt>
                <c:pt idx="4">
                  <c:v>January 2026</c:v>
                </c:pt>
                <c:pt idx="5">
                  <c:v>February 2026</c:v>
                </c:pt>
                <c:pt idx="6">
                  <c:v>March 2026</c:v>
                </c:pt>
                <c:pt idx="7">
                  <c:v>April 2026</c:v>
                </c:pt>
              </c:strCache>
            </c:strRef>
          </c:cat>
          <c:val>
            <c:numRef>
              <c:f>'Plan Financiero'!$L$4:$L$11</c:f>
              <c:numCache>
                <c:formatCode>General</c:formatCode>
                <c:ptCount val="8"/>
                <c:pt idx="0">
                  <c:v>160</c:v>
                </c:pt>
                <c:pt idx="1">
                  <c:v>613.02</c:v>
                </c:pt>
                <c:pt idx="2">
                  <c:v>983.04</c:v>
                </c:pt>
                <c:pt idx="3">
                  <c:v>1193.06</c:v>
                </c:pt>
                <c:pt idx="4">
                  <c:v>1763.08</c:v>
                </c:pt>
                <c:pt idx="5">
                  <c:v>2133.1</c:v>
                </c:pt>
                <c:pt idx="6">
                  <c:v>2643.12</c:v>
                </c:pt>
                <c:pt idx="7">
                  <c:v>3213.14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4A-42F3-9AC4-35233672D0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7693088"/>
        <c:axId val="1477706528"/>
      </c:barChart>
      <c:catAx>
        <c:axId val="14776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7706528"/>
        <c:crosses val="autoZero"/>
        <c:auto val="1"/>
        <c:lblAlgn val="ctr"/>
        <c:lblOffset val="100"/>
        <c:noMultiLvlLbl val="0"/>
      </c:catAx>
      <c:valAx>
        <c:axId val="14777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769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609599</xdr:colOff>
      <xdr:row>1</xdr:row>
      <xdr:rowOff>238124</xdr:rowOff>
    </xdr:from>
    <xdr:ext cx="10448925" cy="37052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9525</xdr:colOff>
      <xdr:row>46</xdr:row>
      <xdr:rowOff>95250</xdr:rowOff>
    </xdr:from>
    <xdr:ext cx="3476625" cy="2447925"/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695627DA-B354-4429-B540-93521E957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18</xdr:col>
      <xdr:colOff>438150</xdr:colOff>
      <xdr:row>46</xdr:row>
      <xdr:rowOff>95250</xdr:rowOff>
    </xdr:from>
    <xdr:ext cx="3476625" cy="2447925"/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75F32934-EDF2-4333-BA68-2D1E4EE82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24</xdr:col>
      <xdr:colOff>257175</xdr:colOff>
      <xdr:row>46</xdr:row>
      <xdr:rowOff>95250</xdr:rowOff>
    </xdr:from>
    <xdr:ext cx="3476625" cy="2447925"/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585367C9-E327-41BA-B9F3-D7DC7B2AF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13</xdr:col>
      <xdr:colOff>9525</xdr:colOff>
      <xdr:row>58</xdr:row>
      <xdr:rowOff>161925</xdr:rowOff>
    </xdr:from>
    <xdr:ext cx="3476625" cy="2447925"/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314AC7F8-6272-4E6A-8836-91B1D1BAA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18</xdr:col>
      <xdr:colOff>438150</xdr:colOff>
      <xdr:row>58</xdr:row>
      <xdr:rowOff>161925</xdr:rowOff>
    </xdr:from>
    <xdr:ext cx="3476625" cy="2447925"/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EA910A55-7C8C-4C44-81E0-BF99378B2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24</xdr:col>
      <xdr:colOff>257175</xdr:colOff>
      <xdr:row>58</xdr:row>
      <xdr:rowOff>161925</xdr:rowOff>
    </xdr:from>
    <xdr:ext cx="3476625" cy="2447925"/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B6F705BB-2343-44B5-A9B4-EC35D653B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18</xdr:col>
      <xdr:colOff>438150</xdr:colOff>
      <xdr:row>70</xdr:row>
      <xdr:rowOff>95250</xdr:rowOff>
    </xdr:from>
    <xdr:ext cx="3476625" cy="2447925"/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70F96B6-5D3D-4596-B16E-9194DABAB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twoCellAnchor>
    <xdr:from>
      <xdr:col>13</xdr:col>
      <xdr:colOff>14285</xdr:colOff>
      <xdr:row>20</xdr:row>
      <xdr:rowOff>185736</xdr:rowOff>
    </xdr:from>
    <xdr:to>
      <xdr:col>30</xdr:col>
      <xdr:colOff>85724</xdr:colOff>
      <xdr:row>46</xdr:row>
      <xdr:rowOff>85725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631644F-4DC1-5FF1-F61C-CB66CBA5E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4"/>
  <sheetViews>
    <sheetView tabSelected="1" workbookViewId="0">
      <selection activeCell="J22" sqref="J22"/>
    </sheetView>
  </sheetViews>
  <sheetFormatPr baseColWidth="10" defaultColWidth="9.140625" defaultRowHeight="15" x14ac:dyDescent="0.25"/>
  <cols>
    <col min="1" max="1" width="12.28515625" customWidth="1"/>
    <col min="2" max="2" width="31.140625" customWidth="1"/>
    <col min="3" max="4" width="16" customWidth="1"/>
    <col min="5" max="5" width="25.42578125" customWidth="1"/>
    <col min="6" max="8" width="16" customWidth="1"/>
    <col min="9" max="9" width="18.28515625" customWidth="1"/>
    <col min="10" max="11" width="16" customWidth="1"/>
    <col min="12" max="12" width="22.140625" customWidth="1"/>
  </cols>
  <sheetData>
    <row r="1" spans="1:43" ht="72.75" customHeight="1" thickBot="1" x14ac:dyDescent="0.3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</row>
    <row r="2" spans="1:43" ht="18.75" x14ac:dyDescent="0.3">
      <c r="A2" s="47"/>
      <c r="B2" s="24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6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</row>
    <row r="3" spans="1:43" x14ac:dyDescent="0.25">
      <c r="A3" s="47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7" t="s">
        <v>11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</row>
    <row r="4" spans="1:43" x14ac:dyDescent="0.25">
      <c r="A4" s="47"/>
      <c r="B4" s="44" t="s">
        <v>12</v>
      </c>
      <c r="C4" s="45">
        <v>160</v>
      </c>
      <c r="D4" s="45">
        <v>0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f t="shared" ref="J4:J11" si="0">SUM(D4:I4)</f>
        <v>0</v>
      </c>
      <c r="K4" s="45">
        <f t="shared" ref="K4:K11" si="1">C4-J4</f>
        <v>160</v>
      </c>
      <c r="L4" s="46">
        <f>K4+C66</f>
        <v>160</v>
      </c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</row>
    <row r="5" spans="1:43" x14ac:dyDescent="0.25">
      <c r="A5" s="47"/>
      <c r="B5" s="8" t="s">
        <v>13</v>
      </c>
      <c r="C5" s="9">
        <f>C68</f>
        <v>950</v>
      </c>
      <c r="D5" s="9">
        <f>D44 +27</f>
        <v>116.98</v>
      </c>
      <c r="E5" s="9">
        <f>J26</f>
        <v>210</v>
      </c>
      <c r="F5" s="9">
        <v>70</v>
      </c>
      <c r="G5" s="9">
        <f>J44</f>
        <v>40</v>
      </c>
      <c r="H5" s="9">
        <v>20</v>
      </c>
      <c r="I5" s="9">
        <f>J62</f>
        <v>40</v>
      </c>
      <c r="J5" s="9">
        <f t="shared" si="0"/>
        <v>496.98</v>
      </c>
      <c r="K5" s="9">
        <f t="shared" si="1"/>
        <v>453.02</v>
      </c>
      <c r="L5" s="10">
        <f t="shared" ref="L5:L11" si="2">K5+L4</f>
        <v>613.02</v>
      </c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</row>
    <row r="6" spans="1:43" x14ac:dyDescent="0.25">
      <c r="A6" s="47"/>
      <c r="B6" s="8" t="s">
        <v>14</v>
      </c>
      <c r="C6" s="9">
        <f>C68</f>
        <v>950</v>
      </c>
      <c r="D6" s="9">
        <f>D44</f>
        <v>89.98</v>
      </c>
      <c r="E6" s="9">
        <f>J26</f>
        <v>210</v>
      </c>
      <c r="F6" s="9">
        <v>200</v>
      </c>
      <c r="G6" s="9">
        <f>J44</f>
        <v>40</v>
      </c>
      <c r="H6" s="9">
        <v>0</v>
      </c>
      <c r="I6" s="9">
        <f>J62</f>
        <v>40</v>
      </c>
      <c r="J6" s="9">
        <f t="shared" si="0"/>
        <v>579.98</v>
      </c>
      <c r="K6" s="9">
        <f t="shared" si="1"/>
        <v>370.02</v>
      </c>
      <c r="L6" s="10">
        <f t="shared" si="2"/>
        <v>983.04</v>
      </c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</row>
    <row r="7" spans="1:43" x14ac:dyDescent="0.25">
      <c r="A7" s="47"/>
      <c r="B7" s="8" t="s">
        <v>15</v>
      </c>
      <c r="C7" s="9">
        <f>C68</f>
        <v>950</v>
      </c>
      <c r="D7" s="9">
        <f>D44</f>
        <v>89.98</v>
      </c>
      <c r="E7" s="9">
        <f>J26</f>
        <v>210</v>
      </c>
      <c r="F7" s="9"/>
      <c r="G7" s="9">
        <f>J44+60</f>
        <v>100</v>
      </c>
      <c r="H7" s="9">
        <v>300</v>
      </c>
      <c r="I7" s="9">
        <f>J62</f>
        <v>40</v>
      </c>
      <c r="J7" s="9">
        <f t="shared" si="0"/>
        <v>739.98</v>
      </c>
      <c r="K7" s="9">
        <f t="shared" si="1"/>
        <v>210.01999999999998</v>
      </c>
      <c r="L7" s="10">
        <f t="shared" si="2"/>
        <v>1193.06</v>
      </c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</row>
    <row r="8" spans="1:43" x14ac:dyDescent="0.25">
      <c r="A8" s="47"/>
      <c r="B8" s="8" t="s">
        <v>16</v>
      </c>
      <c r="C8" s="9">
        <f>C68</f>
        <v>950</v>
      </c>
      <c r="D8" s="9">
        <f>D44</f>
        <v>89.98</v>
      </c>
      <c r="E8" s="9">
        <f>J26</f>
        <v>210</v>
      </c>
      <c r="F8" s="9">
        <v>0</v>
      </c>
      <c r="G8" s="9">
        <f>J44</f>
        <v>40</v>
      </c>
      <c r="H8" s="9">
        <v>0</v>
      </c>
      <c r="I8" s="9">
        <f>J62</f>
        <v>40</v>
      </c>
      <c r="J8" s="9">
        <f t="shared" si="0"/>
        <v>379.98</v>
      </c>
      <c r="K8" s="9">
        <f t="shared" si="1"/>
        <v>570.02</v>
      </c>
      <c r="L8" s="10">
        <f t="shared" si="2"/>
        <v>1763.08</v>
      </c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</row>
    <row r="9" spans="1:43" x14ac:dyDescent="0.25">
      <c r="A9" s="47"/>
      <c r="B9" s="8" t="s">
        <v>17</v>
      </c>
      <c r="C9" s="9">
        <f>C68</f>
        <v>950</v>
      </c>
      <c r="D9" s="9">
        <f>D44</f>
        <v>89.98</v>
      </c>
      <c r="E9" s="9">
        <f>J26</f>
        <v>210</v>
      </c>
      <c r="F9" s="9">
        <v>120</v>
      </c>
      <c r="G9" s="9">
        <f>J44+80</f>
        <v>120</v>
      </c>
      <c r="H9" s="9">
        <v>0</v>
      </c>
      <c r="I9" s="9">
        <f>J62</f>
        <v>40</v>
      </c>
      <c r="J9" s="9">
        <f t="shared" si="0"/>
        <v>579.98</v>
      </c>
      <c r="K9" s="9">
        <f t="shared" si="1"/>
        <v>370.02</v>
      </c>
      <c r="L9" s="10">
        <f t="shared" si="2"/>
        <v>2133.1</v>
      </c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</row>
    <row r="10" spans="1:43" x14ac:dyDescent="0.25">
      <c r="A10" s="47"/>
      <c r="B10" s="8" t="s">
        <v>18</v>
      </c>
      <c r="C10" s="9">
        <f>C68</f>
        <v>950</v>
      </c>
      <c r="D10" s="9">
        <f>D44</f>
        <v>89.98</v>
      </c>
      <c r="E10" s="9">
        <f>J26</f>
        <v>210</v>
      </c>
      <c r="F10" s="9">
        <v>0</v>
      </c>
      <c r="G10" s="9">
        <f>J44-40</f>
        <v>0</v>
      </c>
      <c r="H10" s="9">
        <v>100</v>
      </c>
      <c r="I10" s="9">
        <f>J62</f>
        <v>40</v>
      </c>
      <c r="J10" s="9">
        <f t="shared" si="0"/>
        <v>439.98</v>
      </c>
      <c r="K10" s="9">
        <f t="shared" si="1"/>
        <v>510.02</v>
      </c>
      <c r="L10" s="10">
        <f t="shared" si="2"/>
        <v>2643.12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</row>
    <row r="11" spans="1:43" ht="15.75" thickBot="1" x14ac:dyDescent="0.3">
      <c r="A11" s="47"/>
      <c r="B11" s="11" t="s">
        <v>19</v>
      </c>
      <c r="C11" s="12">
        <f>C68</f>
        <v>950</v>
      </c>
      <c r="D11" s="12">
        <f>D44</f>
        <v>89.98</v>
      </c>
      <c r="E11" s="12">
        <f>J26</f>
        <v>210</v>
      </c>
      <c r="F11" s="12">
        <v>0</v>
      </c>
      <c r="G11" s="12">
        <f>J44</f>
        <v>40</v>
      </c>
      <c r="H11" s="12">
        <v>0</v>
      </c>
      <c r="I11" s="12">
        <f>J62</f>
        <v>40</v>
      </c>
      <c r="J11" s="12">
        <f t="shared" si="0"/>
        <v>379.98</v>
      </c>
      <c r="K11" s="12">
        <f t="shared" si="1"/>
        <v>570.02</v>
      </c>
      <c r="L11" s="13">
        <f t="shared" si="2"/>
        <v>3213.14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</row>
    <row r="12" spans="1:43" x14ac:dyDescent="0.25">
      <c r="A12" s="47"/>
      <c r="B12" s="9"/>
      <c r="C12" s="2" t="s">
        <v>56</v>
      </c>
      <c r="D12" s="51"/>
      <c r="E12" s="51"/>
      <c r="F12" s="3" t="s">
        <v>57</v>
      </c>
      <c r="G12" s="3"/>
      <c r="H12" s="3"/>
      <c r="I12" s="51"/>
      <c r="J12" s="51"/>
      <c r="K12" s="51"/>
      <c r="L12" s="2" t="s">
        <v>58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</row>
    <row r="13" spans="1:43" ht="15.75" thickBot="1" x14ac:dyDescent="0.3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30" t="s">
        <v>64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</row>
    <row r="14" spans="1:43" ht="20.25" customHeight="1" x14ac:dyDescent="0.3">
      <c r="A14" s="47"/>
      <c r="B14" s="24" t="s">
        <v>20</v>
      </c>
      <c r="C14" s="25"/>
      <c r="D14" s="25"/>
      <c r="E14" s="26"/>
      <c r="F14" s="49"/>
      <c r="G14" s="50"/>
      <c r="H14" s="24" t="s">
        <v>4</v>
      </c>
      <c r="I14" s="25"/>
      <c r="J14" s="26"/>
      <c r="K14" s="49"/>
      <c r="L14" s="30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</row>
    <row r="15" spans="1:43" ht="15" customHeight="1" x14ac:dyDescent="0.25">
      <c r="A15" s="47"/>
      <c r="B15" s="5" t="s">
        <v>21</v>
      </c>
      <c r="C15" s="14" t="s">
        <v>22</v>
      </c>
      <c r="D15" s="14" t="s">
        <v>23</v>
      </c>
      <c r="E15" s="7" t="s">
        <v>55</v>
      </c>
      <c r="F15" s="49"/>
      <c r="G15" s="50"/>
      <c r="H15" s="5" t="s">
        <v>31</v>
      </c>
      <c r="I15" s="14" t="s">
        <v>32</v>
      </c>
      <c r="J15" s="7" t="s">
        <v>28</v>
      </c>
      <c r="K15" s="49"/>
      <c r="L15" s="30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</row>
    <row r="16" spans="1:43" ht="16.5" customHeight="1" x14ac:dyDescent="0.25">
      <c r="A16" s="47"/>
      <c r="B16" s="8" t="s">
        <v>35</v>
      </c>
      <c r="C16" s="4">
        <v>210</v>
      </c>
      <c r="D16" s="4" t="s">
        <v>24</v>
      </c>
      <c r="E16" s="10" t="str" cm="1">
        <f t="array" ref="E16">IFERROR(
  INDEX(
    _xlfn._xlws.FILTER($B$4:$B$11, ($L$4:$L$11&gt;=MAX(600,C16))*($K$4:$K$11&gt;=400)),
  1),
"—")</f>
        <v>October 2025</v>
      </c>
      <c r="F16" s="49"/>
      <c r="G16" s="50"/>
      <c r="H16" s="8" t="s">
        <v>50</v>
      </c>
      <c r="I16" s="32" t="s">
        <v>49</v>
      </c>
      <c r="J16" s="10">
        <v>150</v>
      </c>
      <c r="K16" s="48"/>
      <c r="L16" s="48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</row>
    <row r="17" spans="1:43" x14ac:dyDescent="0.25">
      <c r="A17" s="47"/>
      <c r="B17" s="8" t="s">
        <v>36</v>
      </c>
      <c r="C17" s="4">
        <v>1250</v>
      </c>
      <c r="D17" s="4" t="s">
        <v>37</v>
      </c>
      <c r="E17" s="10" t="str" cm="1">
        <f t="array" ref="E17">IFERROR(
  INDEX(
    _xlfn._xlws.FILTER($B$4:$B$11, ($L$4:$L$11&gt;=MAX(600,C17))*($K$4:$K$11&gt;=400)),
  1),
"—")</f>
        <v>January 2026</v>
      </c>
      <c r="F17" s="49"/>
      <c r="G17" s="50"/>
      <c r="H17" s="8" t="s">
        <v>50</v>
      </c>
      <c r="I17" s="57" t="s">
        <v>72</v>
      </c>
      <c r="J17" s="10">
        <v>60</v>
      </c>
      <c r="K17" s="48"/>
      <c r="L17" s="48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</row>
    <row r="18" spans="1:43" x14ac:dyDescent="0.25">
      <c r="A18" s="47"/>
      <c r="B18" s="8" t="s">
        <v>38</v>
      </c>
      <c r="C18" s="4">
        <v>1450</v>
      </c>
      <c r="D18" s="4" t="s">
        <v>39</v>
      </c>
      <c r="E18" s="10" t="str" cm="1">
        <f t="array" ref="E18">IFERROR(
  INDEX(
    _xlfn._xlws.FILTER($B$4:$B$11, ($L$4:$L$11&gt;=MAX(600,C18))*($K$4:$K$11&gt;=400)),
  1),
"—")</f>
        <v>January 2026</v>
      </c>
      <c r="F18" s="49"/>
      <c r="G18" s="50"/>
      <c r="H18" s="8"/>
      <c r="I18" s="4"/>
      <c r="J18" s="10"/>
      <c r="K18" s="48"/>
      <c r="L18" s="48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</row>
    <row r="19" spans="1:43" x14ac:dyDescent="0.25">
      <c r="A19" s="47"/>
      <c r="B19" s="8" t="s">
        <v>40</v>
      </c>
      <c r="C19" s="4">
        <v>250</v>
      </c>
      <c r="D19" s="4" t="s">
        <v>25</v>
      </c>
      <c r="E19" s="10" t="str" cm="1">
        <f t="array" ref="E19">IFERROR(
  INDEX(
    _xlfn._xlws.FILTER($B$4:$B$11, ($L$4:$L$11&gt;=MAX(600,C19))*($K$4:$K$11&gt;=400)),
  1),
"—")</f>
        <v>October 2025</v>
      </c>
      <c r="F19" s="49"/>
      <c r="G19" s="50"/>
      <c r="H19" s="8"/>
      <c r="I19" s="4"/>
      <c r="J19" s="10"/>
      <c r="K19" s="48"/>
      <c r="L19" s="48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</row>
    <row r="20" spans="1:43" x14ac:dyDescent="0.25">
      <c r="A20" s="47"/>
      <c r="B20" s="8" t="s">
        <v>42</v>
      </c>
      <c r="C20" s="4">
        <v>1700</v>
      </c>
      <c r="D20" s="4" t="s">
        <v>39</v>
      </c>
      <c r="E20" s="10" t="str" cm="1">
        <f t="array" ref="E20">IFERROR(
  INDEX(
    _xlfn._xlws.FILTER($B$4:$B$11, ($L$4:$L$11&gt;=MAX(600,C20))*($K$4:$K$11&gt;=400)),
  1),
"—")</f>
        <v>January 2026</v>
      </c>
      <c r="F20" s="49"/>
      <c r="G20" s="50"/>
      <c r="H20" s="8"/>
      <c r="I20" s="4"/>
      <c r="J20" s="10"/>
      <c r="K20" s="48"/>
      <c r="L20" s="48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</row>
    <row r="21" spans="1:43" x14ac:dyDescent="0.25">
      <c r="A21" s="47"/>
      <c r="B21" s="8" t="s">
        <v>52</v>
      </c>
      <c r="C21" s="4">
        <v>450</v>
      </c>
      <c r="D21" s="4" t="s">
        <v>39</v>
      </c>
      <c r="E21" s="10" t="str" cm="1">
        <f t="array" ref="E21">IFERROR(
  INDEX(
    _xlfn._xlws.FILTER($B$4:$B$11, ($L$4:$L$11&gt;=MAX(600,C21))*($K$4:$K$11&gt;=400)),
  1),
"—")</f>
        <v>October 2025</v>
      </c>
      <c r="F21" s="49"/>
      <c r="G21" s="50"/>
      <c r="H21" s="8"/>
      <c r="I21" s="4"/>
      <c r="J21" s="10"/>
      <c r="K21" s="48"/>
      <c r="L21" s="48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</row>
    <row r="22" spans="1:43" x14ac:dyDescent="0.25">
      <c r="A22" s="47"/>
      <c r="B22" s="8" t="s">
        <v>53</v>
      </c>
      <c r="C22" s="4">
        <v>120</v>
      </c>
      <c r="D22" s="4" t="s">
        <v>39</v>
      </c>
      <c r="E22" s="10" t="str" cm="1">
        <f t="array" ref="E22">IFERROR(
  INDEX(
    _xlfn._xlws.FILTER($B$4:$B$11, ($L$4:$L$11&gt;=MAX(600,C22))*($K$4:$K$11&gt;=400)),
  1),
"—")</f>
        <v>October 2025</v>
      </c>
      <c r="F22" s="49"/>
      <c r="G22" s="50"/>
      <c r="H22" s="8"/>
      <c r="I22" s="4"/>
      <c r="J22" s="10"/>
      <c r="K22" s="48"/>
      <c r="L22" s="48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</row>
    <row r="23" spans="1:43" x14ac:dyDescent="0.25">
      <c r="A23" s="47"/>
      <c r="B23" s="8" t="s">
        <v>60</v>
      </c>
      <c r="C23" s="4">
        <v>70</v>
      </c>
      <c r="D23" s="4" t="s">
        <v>61</v>
      </c>
      <c r="E23" s="10" t="str" cm="1">
        <f t="array" ref="E23">IFERROR(
  INDEX(
    _xlfn._xlws.FILTER($B$4:$B$11, ($L$4:$L$11&gt;=MAX(600,C23))*($K$4:$K$11&gt;=400)),
  1),
"—")</f>
        <v>October 2025</v>
      </c>
      <c r="F23" s="49"/>
      <c r="G23" s="50"/>
      <c r="H23" s="8"/>
      <c r="I23" s="4"/>
      <c r="J23" s="10"/>
      <c r="K23" s="48"/>
      <c r="L23" s="48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</row>
    <row r="24" spans="1:43" x14ac:dyDescent="0.25">
      <c r="A24" s="47"/>
      <c r="B24" s="8" t="s">
        <v>62</v>
      </c>
      <c r="C24" s="4">
        <v>120</v>
      </c>
      <c r="D24" s="4" t="s">
        <v>63</v>
      </c>
      <c r="E24" s="10" t="str" cm="1">
        <f t="array" ref="E24">IFERROR(
  INDEX(
    _xlfn._xlws.FILTER($B$4:$B$11, ($L$4:$L$11&gt;=MAX(600,C24))*($K$4:$K$11&gt;=400)),
  1),
"—")</f>
        <v>October 2025</v>
      </c>
      <c r="F24" s="49"/>
      <c r="G24" s="50"/>
      <c r="H24" s="8"/>
      <c r="I24" s="4"/>
      <c r="J24" s="10"/>
      <c r="K24" s="48"/>
      <c r="L24" s="48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</row>
    <row r="25" spans="1:43" ht="15.75" thickBot="1" x14ac:dyDescent="0.3">
      <c r="A25" s="47"/>
      <c r="B25" s="8"/>
      <c r="C25" s="4"/>
      <c r="D25" s="4"/>
      <c r="E25" s="10" t="str" cm="1">
        <f t="array" ref="E25">IFERROR(
  INDEX(
    _xlfn._xlws.FILTER($B$4:$B$11, ($L$4:$L$11&gt;=MAX(600,C25))*($K$4:$K$11&gt;=400)),
  1),
"—")</f>
        <v>October 2025</v>
      </c>
      <c r="F25" s="49"/>
      <c r="G25" s="50"/>
      <c r="H25" s="8"/>
      <c r="I25" s="4"/>
      <c r="J25" s="10"/>
      <c r="K25" s="48"/>
      <c r="L25" s="48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</row>
    <row r="26" spans="1:43" ht="15.75" thickBot="1" x14ac:dyDescent="0.3">
      <c r="A26" s="47"/>
      <c r="B26" s="16" t="s">
        <v>41</v>
      </c>
      <c r="C26" s="34"/>
      <c r="D26" s="34"/>
      <c r="E26" s="35">
        <f>SUM(C16:C25)</f>
        <v>5620</v>
      </c>
      <c r="F26" s="49"/>
      <c r="G26" s="50"/>
      <c r="H26" s="16" t="s">
        <v>41</v>
      </c>
      <c r="I26" s="38"/>
      <c r="J26" s="39">
        <f>SUM(J16:J25)</f>
        <v>210</v>
      </c>
      <c r="K26" s="48"/>
      <c r="L26" s="48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</row>
    <row r="27" spans="1:43" ht="15.75" thickBot="1" x14ac:dyDescent="0.3">
      <c r="A27" s="47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</row>
    <row r="28" spans="1:43" ht="19.5" thickBot="1" x14ac:dyDescent="0.35">
      <c r="A28" s="47"/>
      <c r="B28" s="27" t="s">
        <v>3</v>
      </c>
      <c r="C28" s="28"/>
      <c r="D28" s="29"/>
      <c r="E28" s="48"/>
      <c r="F28" s="48"/>
      <c r="G28" s="48"/>
      <c r="H28" s="24" t="s">
        <v>6</v>
      </c>
      <c r="I28" s="25"/>
      <c r="J28" s="26"/>
      <c r="K28" s="48"/>
      <c r="L28" s="48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</row>
    <row r="29" spans="1:43" x14ac:dyDescent="0.25">
      <c r="A29" s="47"/>
      <c r="B29" s="5" t="s">
        <v>26</v>
      </c>
      <c r="C29" s="14" t="s">
        <v>27</v>
      </c>
      <c r="D29" s="7" t="s">
        <v>28</v>
      </c>
      <c r="E29" s="48"/>
      <c r="F29" s="48"/>
      <c r="G29" s="48"/>
      <c r="H29" s="5" t="s">
        <v>31</v>
      </c>
      <c r="I29" s="14" t="s">
        <v>32</v>
      </c>
      <c r="J29" s="7" t="s">
        <v>28</v>
      </c>
      <c r="K29" s="48"/>
      <c r="L29" s="48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</row>
    <row r="30" spans="1:43" x14ac:dyDescent="0.25">
      <c r="A30" s="47"/>
      <c r="B30" s="8" t="s">
        <v>29</v>
      </c>
      <c r="C30" s="4">
        <v>1</v>
      </c>
      <c r="D30" s="10">
        <v>12.99</v>
      </c>
      <c r="E30" s="48"/>
      <c r="F30" s="48"/>
      <c r="G30" s="48"/>
      <c r="H30" s="8" t="s">
        <v>50</v>
      </c>
      <c r="I30" s="4" t="s">
        <v>66</v>
      </c>
      <c r="J30" s="10">
        <v>20</v>
      </c>
      <c r="K30" s="48"/>
      <c r="L30" s="48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</row>
    <row r="31" spans="1:43" x14ac:dyDescent="0.25">
      <c r="A31" s="47"/>
      <c r="B31" s="8" t="s">
        <v>30</v>
      </c>
      <c r="C31" s="4">
        <v>15</v>
      </c>
      <c r="D31" s="10">
        <v>4.99</v>
      </c>
      <c r="E31" s="48"/>
      <c r="F31" s="48"/>
      <c r="G31" s="48"/>
      <c r="H31" s="8" t="s">
        <v>67</v>
      </c>
      <c r="I31" s="4" t="s">
        <v>6</v>
      </c>
      <c r="J31" s="10">
        <v>20</v>
      </c>
      <c r="K31" s="48"/>
      <c r="L31" s="48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</row>
    <row r="32" spans="1:43" x14ac:dyDescent="0.25">
      <c r="A32" s="47"/>
      <c r="B32" s="8" t="s">
        <v>43</v>
      </c>
      <c r="C32" s="4">
        <v>26</v>
      </c>
      <c r="D32" s="10">
        <v>5</v>
      </c>
      <c r="E32" s="48"/>
      <c r="F32" s="48"/>
      <c r="G32" s="48"/>
      <c r="H32" s="8"/>
      <c r="I32" s="4"/>
      <c r="J32" s="10"/>
      <c r="K32" s="48"/>
      <c r="L32" s="48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</row>
    <row r="33" spans="1:43" x14ac:dyDescent="0.25">
      <c r="A33" s="47"/>
      <c r="B33" s="8" t="s">
        <v>44</v>
      </c>
      <c r="C33" s="4">
        <v>23</v>
      </c>
      <c r="D33" s="10">
        <v>18</v>
      </c>
      <c r="E33" s="48"/>
      <c r="F33" s="48"/>
      <c r="G33" s="48"/>
      <c r="H33" s="8"/>
      <c r="I33" s="4"/>
      <c r="J33" s="10"/>
      <c r="K33" s="48"/>
      <c r="L33" s="48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</row>
    <row r="34" spans="1:43" x14ac:dyDescent="0.25">
      <c r="A34" s="47"/>
      <c r="B34" s="8" t="s">
        <v>45</v>
      </c>
      <c r="C34" s="4">
        <v>12</v>
      </c>
      <c r="D34" s="10">
        <v>17</v>
      </c>
      <c r="E34" s="48"/>
      <c r="F34" s="48"/>
      <c r="G34" s="48"/>
      <c r="H34" s="8"/>
      <c r="I34" s="4"/>
      <c r="J34" s="10"/>
      <c r="K34" s="48"/>
      <c r="L34" s="48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</row>
    <row r="35" spans="1:43" x14ac:dyDescent="0.25">
      <c r="A35" s="47"/>
      <c r="B35" s="8" t="s">
        <v>46</v>
      </c>
      <c r="C35" s="4">
        <v>5</v>
      </c>
      <c r="D35" s="10">
        <v>2</v>
      </c>
      <c r="E35" s="48"/>
      <c r="F35" s="48"/>
      <c r="G35" s="48"/>
      <c r="H35" s="8"/>
      <c r="I35" s="4"/>
      <c r="J35" s="10"/>
      <c r="K35" s="48"/>
      <c r="L35" s="48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</row>
    <row r="36" spans="1:43" x14ac:dyDescent="0.25">
      <c r="A36" s="47"/>
      <c r="B36" s="8" t="s">
        <v>47</v>
      </c>
      <c r="C36" s="4">
        <v>17</v>
      </c>
      <c r="D36" s="10">
        <v>10</v>
      </c>
      <c r="E36" s="48"/>
      <c r="F36" s="48"/>
      <c r="G36" s="48"/>
      <c r="H36" s="8"/>
      <c r="I36" s="4"/>
      <c r="J36" s="10"/>
      <c r="K36" s="48"/>
      <c r="L36" s="48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</row>
    <row r="37" spans="1:43" x14ac:dyDescent="0.25">
      <c r="A37" s="47"/>
      <c r="B37" s="8" t="s">
        <v>48</v>
      </c>
      <c r="C37" s="4">
        <v>12</v>
      </c>
      <c r="D37" s="10">
        <v>10</v>
      </c>
      <c r="E37" s="48"/>
      <c r="F37" s="48"/>
      <c r="G37" s="48"/>
      <c r="H37" s="8"/>
      <c r="I37" s="4"/>
      <c r="J37" s="10"/>
      <c r="K37" s="48"/>
      <c r="L37" s="48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</row>
    <row r="38" spans="1:43" x14ac:dyDescent="0.25">
      <c r="A38" s="47"/>
      <c r="B38" s="33" t="s">
        <v>68</v>
      </c>
      <c r="C38" s="4">
        <v>29</v>
      </c>
      <c r="D38" s="10">
        <v>10</v>
      </c>
      <c r="E38" s="48"/>
      <c r="F38" s="48"/>
      <c r="G38" s="48"/>
      <c r="H38" s="8"/>
      <c r="I38" s="4"/>
      <c r="J38" s="10"/>
      <c r="K38" s="48"/>
      <c r="L38" s="48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</row>
    <row r="39" spans="1:43" ht="18.75" x14ac:dyDescent="0.3">
      <c r="A39" s="47"/>
      <c r="B39" s="17"/>
      <c r="C39" s="4"/>
      <c r="D39" s="10"/>
      <c r="E39" s="48"/>
      <c r="F39" s="48"/>
      <c r="G39" s="48"/>
      <c r="H39" s="8"/>
      <c r="I39" s="4"/>
      <c r="J39" s="10"/>
      <c r="K39" s="48"/>
      <c r="L39" s="48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</row>
    <row r="40" spans="1:43" ht="18.75" x14ac:dyDescent="0.3">
      <c r="A40" s="47"/>
      <c r="B40" s="18"/>
      <c r="C40" s="15"/>
      <c r="D40" s="19"/>
      <c r="E40" s="48"/>
      <c r="F40" s="48"/>
      <c r="G40" s="48"/>
      <c r="H40" s="17"/>
      <c r="I40" s="4"/>
      <c r="J40" s="10"/>
      <c r="K40" s="48"/>
      <c r="L40" s="48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</row>
    <row r="41" spans="1:43" x14ac:dyDescent="0.25">
      <c r="A41" s="47"/>
      <c r="B41" s="8"/>
      <c r="C41" s="4"/>
      <c r="D41" s="10"/>
      <c r="E41" s="48"/>
      <c r="F41" s="48"/>
      <c r="G41" s="48"/>
      <c r="H41" s="18"/>
      <c r="I41" s="15"/>
      <c r="J41" s="19"/>
      <c r="K41" s="48"/>
      <c r="L41" s="48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</row>
    <row r="42" spans="1:43" x14ac:dyDescent="0.25">
      <c r="A42" s="47"/>
      <c r="B42" s="8"/>
      <c r="C42" s="4"/>
      <c r="D42" s="10"/>
      <c r="E42" s="48"/>
      <c r="F42" s="48"/>
      <c r="G42" s="48"/>
      <c r="H42" s="8"/>
      <c r="I42" s="4"/>
      <c r="J42" s="10"/>
      <c r="K42" s="48"/>
      <c r="L42" s="48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</row>
    <row r="43" spans="1:43" ht="15.75" thickBot="1" x14ac:dyDescent="0.3">
      <c r="A43" s="47"/>
      <c r="B43" s="8"/>
      <c r="C43" s="4"/>
      <c r="D43" s="10"/>
      <c r="E43" s="48"/>
      <c r="F43" s="48"/>
      <c r="G43" s="48"/>
      <c r="H43" s="8"/>
      <c r="I43" s="4"/>
      <c r="J43" s="10"/>
      <c r="K43" s="48"/>
      <c r="L43" s="48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</row>
    <row r="44" spans="1:43" ht="15.75" thickBot="1" x14ac:dyDescent="0.3">
      <c r="A44" s="47"/>
      <c r="B44" s="16" t="s">
        <v>41</v>
      </c>
      <c r="C44" s="36"/>
      <c r="D44" s="37">
        <f>SUM(D30:D43)</f>
        <v>89.98</v>
      </c>
      <c r="E44" s="48"/>
      <c r="F44" s="48"/>
      <c r="G44" s="48"/>
      <c r="H44" s="16" t="s">
        <v>41</v>
      </c>
      <c r="I44" s="38"/>
      <c r="J44" s="39">
        <f>SUM(J30:J43)</f>
        <v>40</v>
      </c>
      <c r="K44" s="48"/>
      <c r="L44" s="48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</row>
    <row r="45" spans="1:43" ht="15.75" thickBot="1" x14ac:dyDescent="0.3">
      <c r="A45" s="47"/>
      <c r="B45" s="55"/>
      <c r="C45" s="55"/>
      <c r="D45" s="55"/>
      <c r="E45" s="48"/>
      <c r="F45" s="48"/>
      <c r="G45" s="48"/>
      <c r="H45" s="55"/>
      <c r="I45" s="55"/>
      <c r="J45" s="55"/>
      <c r="K45" s="48"/>
      <c r="L45" s="48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</row>
    <row r="46" spans="1:43" ht="18.75" x14ac:dyDescent="0.3">
      <c r="A46" s="47"/>
      <c r="B46" s="24" t="s">
        <v>7</v>
      </c>
      <c r="C46" s="25"/>
      <c r="D46" s="26"/>
      <c r="E46" s="48"/>
      <c r="F46" s="48"/>
      <c r="G46" s="48"/>
      <c r="H46" s="24" t="s">
        <v>8</v>
      </c>
      <c r="I46" s="25"/>
      <c r="J46" s="26"/>
      <c r="K46" s="48"/>
      <c r="L46" s="48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</row>
    <row r="47" spans="1:43" x14ac:dyDescent="0.25">
      <c r="A47" s="47"/>
      <c r="B47" s="5" t="s">
        <v>31</v>
      </c>
      <c r="C47" s="14" t="s">
        <v>32</v>
      </c>
      <c r="D47" s="7" t="s">
        <v>28</v>
      </c>
      <c r="E47" s="48"/>
      <c r="F47" s="48"/>
      <c r="G47" s="48"/>
      <c r="H47" s="5" t="s">
        <v>31</v>
      </c>
      <c r="I47" s="14" t="s">
        <v>32</v>
      </c>
      <c r="J47" s="7" t="s">
        <v>28</v>
      </c>
      <c r="K47" s="48"/>
      <c r="L47" s="48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</row>
    <row r="48" spans="1:43" x14ac:dyDescent="0.25">
      <c r="A48" s="47"/>
      <c r="B48" s="8" t="s">
        <v>51</v>
      </c>
      <c r="C48" s="4" t="s">
        <v>7</v>
      </c>
      <c r="D48" s="10">
        <v>300</v>
      </c>
      <c r="E48" s="48"/>
      <c r="F48" s="48"/>
      <c r="G48" s="48"/>
      <c r="H48" s="8" t="s">
        <v>33</v>
      </c>
      <c r="I48" s="4" t="s">
        <v>34</v>
      </c>
      <c r="J48" s="10">
        <v>40</v>
      </c>
      <c r="K48" s="48"/>
      <c r="L48" s="48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</row>
    <row r="49" spans="1:43" x14ac:dyDescent="0.25">
      <c r="A49" s="47"/>
      <c r="B49" s="8"/>
      <c r="C49" s="4"/>
      <c r="D49" s="10"/>
      <c r="E49" s="48"/>
      <c r="F49" s="48"/>
      <c r="G49" s="48"/>
      <c r="H49" s="8"/>
      <c r="I49" s="4"/>
      <c r="J49" s="10"/>
      <c r="K49" s="48"/>
      <c r="L49" s="48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</row>
    <row r="50" spans="1:43" ht="18.75" x14ac:dyDescent="0.3">
      <c r="A50" s="47"/>
      <c r="B50" s="17"/>
      <c r="C50" s="4"/>
      <c r="D50" s="10"/>
      <c r="E50" s="48"/>
      <c r="F50" s="48"/>
      <c r="G50" s="48"/>
      <c r="H50" s="8"/>
      <c r="I50" s="4"/>
      <c r="J50" s="10"/>
      <c r="K50" s="48"/>
      <c r="L50" s="48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</row>
    <row r="51" spans="1:43" x14ac:dyDescent="0.25">
      <c r="A51" s="47"/>
      <c r="B51" s="18"/>
      <c r="C51" s="15"/>
      <c r="D51" s="19"/>
      <c r="E51" s="48"/>
      <c r="F51" s="48"/>
      <c r="G51" s="48"/>
      <c r="H51" s="8"/>
      <c r="I51" s="4"/>
      <c r="J51" s="10"/>
      <c r="K51" s="48"/>
      <c r="L51" s="48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</row>
    <row r="52" spans="1:43" x14ac:dyDescent="0.25">
      <c r="A52" s="47"/>
      <c r="B52" s="8"/>
      <c r="C52" s="4"/>
      <c r="D52" s="10"/>
      <c r="E52" s="48"/>
      <c r="F52" s="48"/>
      <c r="G52" s="48"/>
      <c r="H52" s="8"/>
      <c r="I52" s="4"/>
      <c r="J52" s="10"/>
      <c r="K52" s="48"/>
      <c r="L52" s="48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</row>
    <row r="53" spans="1:43" x14ac:dyDescent="0.25">
      <c r="A53" s="47"/>
      <c r="B53" s="8"/>
      <c r="C53" s="4"/>
      <c r="D53" s="10"/>
      <c r="E53" s="48"/>
      <c r="F53" s="48"/>
      <c r="G53" s="48"/>
      <c r="H53" s="8"/>
      <c r="I53" s="4"/>
      <c r="J53" s="10"/>
      <c r="K53" s="48"/>
      <c r="L53" s="48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</row>
    <row r="54" spans="1:43" x14ac:dyDescent="0.25">
      <c r="A54" s="47"/>
      <c r="B54" s="8"/>
      <c r="C54" s="4"/>
      <c r="D54" s="10"/>
      <c r="E54" s="48"/>
      <c r="F54" s="48"/>
      <c r="G54" s="48"/>
      <c r="H54" s="8"/>
      <c r="I54" s="4"/>
      <c r="J54" s="10"/>
      <c r="K54" s="48"/>
      <c r="L54" s="48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</row>
    <row r="55" spans="1:43" x14ac:dyDescent="0.25">
      <c r="A55" s="47"/>
      <c r="B55" s="8"/>
      <c r="C55" s="4"/>
      <c r="D55" s="10"/>
      <c r="E55" s="48"/>
      <c r="F55" s="48"/>
      <c r="G55" s="48"/>
      <c r="H55" s="8"/>
      <c r="I55" s="4"/>
      <c r="J55" s="10"/>
      <c r="K55" s="48"/>
      <c r="L55" s="48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</row>
    <row r="56" spans="1:43" ht="18.75" x14ac:dyDescent="0.3">
      <c r="A56" s="47"/>
      <c r="B56" s="17"/>
      <c r="C56" s="4"/>
      <c r="D56" s="10"/>
      <c r="E56" s="48"/>
      <c r="F56" s="48"/>
      <c r="G56" s="48"/>
      <c r="H56" s="8"/>
      <c r="I56" s="4"/>
      <c r="J56" s="10"/>
      <c r="K56" s="48"/>
      <c r="L56" s="48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</row>
    <row r="57" spans="1:43" x14ac:dyDescent="0.25">
      <c r="A57" s="47"/>
      <c r="B57" s="18"/>
      <c r="C57" s="15"/>
      <c r="D57" s="19"/>
      <c r="E57" s="48"/>
      <c r="F57" s="48"/>
      <c r="G57" s="48"/>
      <c r="H57" s="8"/>
      <c r="I57" s="4"/>
      <c r="J57" s="10"/>
      <c r="K57" s="48"/>
      <c r="L57" s="48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</row>
    <row r="58" spans="1:43" x14ac:dyDescent="0.25">
      <c r="A58" s="47"/>
      <c r="B58" s="8"/>
      <c r="C58" s="4"/>
      <c r="D58" s="10"/>
      <c r="E58" s="48"/>
      <c r="F58" s="48"/>
      <c r="G58" s="48"/>
      <c r="H58" s="8"/>
      <c r="I58" s="4"/>
      <c r="J58" s="10"/>
      <c r="K58" s="48"/>
      <c r="L58" s="48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</row>
    <row r="59" spans="1:43" x14ac:dyDescent="0.25">
      <c r="A59" s="47"/>
      <c r="B59" s="8"/>
      <c r="C59" s="4"/>
      <c r="D59" s="10"/>
      <c r="E59" s="48"/>
      <c r="F59" s="48"/>
      <c r="G59" s="48"/>
      <c r="H59" s="8"/>
      <c r="I59" s="4"/>
      <c r="J59" s="10"/>
      <c r="K59" s="48"/>
      <c r="L59" s="48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</row>
    <row r="60" spans="1:43" x14ac:dyDescent="0.25">
      <c r="A60" s="47"/>
      <c r="B60" s="8"/>
      <c r="C60" s="4"/>
      <c r="D60" s="10"/>
      <c r="E60" s="48"/>
      <c r="F60" s="48"/>
      <c r="G60" s="48"/>
      <c r="H60" s="8"/>
      <c r="I60" s="4"/>
      <c r="J60" s="10"/>
      <c r="K60" s="48"/>
      <c r="L60" s="48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</row>
    <row r="61" spans="1:43" ht="15.75" thickBot="1" x14ac:dyDescent="0.3">
      <c r="A61" s="47"/>
      <c r="B61" s="8"/>
      <c r="C61" s="4"/>
      <c r="D61" s="10"/>
      <c r="E61" s="48"/>
      <c r="F61" s="48"/>
      <c r="G61" s="48"/>
      <c r="H61" s="8"/>
      <c r="I61" s="4"/>
      <c r="J61" s="10"/>
      <c r="K61" s="48"/>
      <c r="L61" s="48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</row>
    <row r="62" spans="1:43" ht="19.5" thickBot="1" x14ac:dyDescent="0.35">
      <c r="A62" s="47"/>
      <c r="B62" s="20" t="s">
        <v>41</v>
      </c>
      <c r="C62" s="40"/>
      <c r="D62" s="39">
        <f>SUM(D48:D61)</f>
        <v>300</v>
      </c>
      <c r="E62" s="48"/>
      <c r="F62" s="48"/>
      <c r="G62" s="48"/>
      <c r="H62" s="16" t="s">
        <v>41</v>
      </c>
      <c r="I62" s="38"/>
      <c r="J62" s="39">
        <f>SUM(J48:J61)</f>
        <v>40</v>
      </c>
      <c r="K62" s="48"/>
      <c r="L62" s="48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</row>
    <row r="63" spans="1:43" x14ac:dyDescent="0.25">
      <c r="A63" s="47"/>
      <c r="B63" s="53"/>
      <c r="C63" s="53"/>
      <c r="D63" s="53"/>
      <c r="E63" s="48"/>
      <c r="F63" s="48"/>
      <c r="G63" s="48"/>
      <c r="H63" s="51"/>
      <c r="I63" s="51"/>
      <c r="J63" s="51"/>
      <c r="K63" s="48"/>
      <c r="L63" s="48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</row>
    <row r="64" spans="1:43" x14ac:dyDescent="0.25">
      <c r="A64" s="47"/>
      <c r="B64" s="52"/>
      <c r="C64" s="52"/>
      <c r="D64" s="52"/>
      <c r="E64" s="48"/>
      <c r="F64" s="48"/>
      <c r="G64" s="48"/>
      <c r="H64" s="48"/>
      <c r="I64" s="48"/>
      <c r="J64" s="48"/>
      <c r="K64" s="48"/>
      <c r="L64" s="48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</row>
    <row r="65" spans="1:43" ht="15.75" thickBot="1" x14ac:dyDescent="0.3">
      <c r="A65" s="47"/>
      <c r="B65" s="54"/>
      <c r="C65" s="54"/>
      <c r="D65" s="52"/>
      <c r="E65" s="48"/>
      <c r="F65" s="48"/>
      <c r="G65" s="48"/>
      <c r="H65" s="48"/>
      <c r="I65" s="48"/>
      <c r="J65" s="48"/>
      <c r="K65" s="48"/>
      <c r="L65" s="48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</row>
    <row r="66" spans="1:43" ht="15.75" thickBot="1" x14ac:dyDescent="0.3">
      <c r="A66" s="47"/>
      <c r="B66" s="21" t="s">
        <v>54</v>
      </c>
      <c r="C66" s="22">
        <v>0</v>
      </c>
      <c r="D66" s="52"/>
      <c r="E66" s="48"/>
      <c r="F66" s="48"/>
      <c r="G66" s="48"/>
      <c r="H66" s="56"/>
      <c r="I66" s="56"/>
      <c r="J66" s="56"/>
      <c r="K66" s="48"/>
      <c r="L66" s="48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</row>
    <row r="67" spans="1:43" ht="15.75" thickBot="1" x14ac:dyDescent="0.3">
      <c r="A67" s="47"/>
      <c r="B67" s="55"/>
      <c r="C67" s="55"/>
      <c r="D67" s="52"/>
      <c r="E67" s="48"/>
      <c r="F67" s="48"/>
      <c r="G67" s="48"/>
      <c r="H67" s="41"/>
      <c r="I67" s="42"/>
      <c r="J67" s="43"/>
      <c r="K67" s="48"/>
      <c r="L67" s="48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</row>
    <row r="68" spans="1:43" ht="25.5" customHeight="1" thickBot="1" x14ac:dyDescent="0.3">
      <c r="A68" s="47"/>
      <c r="B68" s="16" t="s">
        <v>59</v>
      </c>
      <c r="C68" s="23">
        <v>950</v>
      </c>
      <c r="D68" s="31" t="s">
        <v>65</v>
      </c>
      <c r="E68" s="1"/>
      <c r="F68" s="48"/>
      <c r="G68" s="50"/>
      <c r="H68" s="11" t="s">
        <v>69</v>
      </c>
      <c r="I68" s="12" t="s">
        <v>70</v>
      </c>
      <c r="J68" s="13" t="s">
        <v>71</v>
      </c>
      <c r="K68" s="48"/>
      <c r="L68" s="48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</row>
    <row r="69" spans="1:43" x14ac:dyDescent="0.25">
      <c r="A69" s="47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</row>
    <row r="70" spans="1:43" x14ac:dyDescent="0.25">
      <c r="A70" s="47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</row>
    <row r="71" spans="1:43" x14ac:dyDescent="0.25">
      <c r="A71" s="47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</row>
    <row r="72" spans="1:43" x14ac:dyDescent="0.25">
      <c r="A72" s="47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</row>
    <row r="73" spans="1:43" x14ac:dyDescent="0.25">
      <c r="A73" s="47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</row>
    <row r="74" spans="1:43" x14ac:dyDescent="0.25">
      <c r="A74" s="47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</row>
    <row r="75" spans="1:43" x14ac:dyDescent="0.25">
      <c r="A75" s="47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</row>
    <row r="76" spans="1:43" x14ac:dyDescent="0.25">
      <c r="A76" s="47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</row>
    <row r="77" spans="1:43" x14ac:dyDescent="0.25">
      <c r="A77" s="47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</row>
    <row r="78" spans="1:43" x14ac:dyDescent="0.25">
      <c r="A78" s="47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</row>
    <row r="79" spans="1:43" x14ac:dyDescent="0.25">
      <c r="A79" s="47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</row>
    <row r="80" spans="1:43" x14ac:dyDescent="0.25">
      <c r="A80" s="47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</row>
    <row r="81" spans="1:43" x14ac:dyDescent="0.25">
      <c r="A81" s="47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</row>
    <row r="82" spans="1:43" x14ac:dyDescent="0.25">
      <c r="A82" s="47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</row>
    <row r="83" spans="1:43" x14ac:dyDescent="0.25">
      <c r="A83" s="47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</row>
    <row r="84" spans="1:43" x14ac:dyDescent="0.25">
      <c r="A84" s="47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</row>
  </sheetData>
  <mergeCells count="29">
    <mergeCell ref="M2:AQ84"/>
    <mergeCell ref="A1:AQ1"/>
    <mergeCell ref="K14:K15"/>
    <mergeCell ref="K16:L68"/>
    <mergeCell ref="B69:L84"/>
    <mergeCell ref="F68:G68"/>
    <mergeCell ref="D63:D67"/>
    <mergeCell ref="B63:C65"/>
    <mergeCell ref="B67:C67"/>
    <mergeCell ref="H63:J66"/>
    <mergeCell ref="H45:J45"/>
    <mergeCell ref="B45:D45"/>
    <mergeCell ref="B2:L2"/>
    <mergeCell ref="D68:E68"/>
    <mergeCell ref="A2:A84"/>
    <mergeCell ref="B13:K13"/>
    <mergeCell ref="F14:G26"/>
    <mergeCell ref="E28:G67"/>
    <mergeCell ref="B27:J27"/>
    <mergeCell ref="L13:L15"/>
    <mergeCell ref="F12:H12"/>
    <mergeCell ref="B14:E14"/>
    <mergeCell ref="H14:J14"/>
    <mergeCell ref="B28:D28"/>
    <mergeCell ref="B46:D46"/>
    <mergeCell ref="H46:J46"/>
    <mergeCell ref="H28:J28"/>
    <mergeCell ref="I12:K12"/>
    <mergeCell ref="D12:E12"/>
  </mergeCells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Financiero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Kowalski</cp:lastModifiedBy>
  <dcterms:created xsi:type="dcterms:W3CDTF">2025-09-28T11:03:27Z</dcterms:created>
  <dcterms:modified xsi:type="dcterms:W3CDTF">2025-09-30T09:33:13Z</dcterms:modified>
</cp:coreProperties>
</file>